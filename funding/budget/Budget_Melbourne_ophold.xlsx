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s\R_document\phd\funding\budget\"/>
    </mc:Choice>
  </mc:AlternateContent>
  <xr:revisionPtr revIDLastSave="0" documentId="13_ncr:1_{F89AB66B-4162-41CD-A786-88B85DD3496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udget" sheetId="1" r:id="rId1"/>
    <sheet name="Finansiering" sheetId="2" r:id="rId2"/>
    <sheet name="Kilde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C5" i="2"/>
  <c r="E5" i="2" s="1"/>
  <c r="D51" i="1"/>
  <c r="F51" i="1" s="1"/>
  <c r="F50" i="1"/>
  <c r="D50" i="1"/>
  <c r="D49" i="1"/>
  <c r="F49" i="1" s="1"/>
  <c r="F48" i="1"/>
  <c r="D48" i="1"/>
  <c r="D47" i="1"/>
  <c r="F47" i="1" s="1"/>
  <c r="D46" i="1"/>
  <c r="F46" i="1" s="1"/>
  <c r="D45" i="1"/>
  <c r="B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F32" i="1"/>
  <c r="D31" i="1"/>
  <c r="F31" i="1" s="1"/>
  <c r="D30" i="1"/>
  <c r="F30" i="1" s="1"/>
  <c r="D29" i="1"/>
  <c r="F29" i="1" s="1"/>
  <c r="D28" i="1"/>
  <c r="F28" i="1" s="1"/>
  <c r="D27" i="1"/>
  <c r="F27" i="1" s="1"/>
  <c r="F26" i="1"/>
  <c r="F25" i="1"/>
  <c r="F33" i="1" s="1"/>
  <c r="B19" i="1"/>
  <c r="B13" i="1"/>
  <c r="F34" i="1" l="1"/>
  <c r="F35" i="1"/>
  <c r="B16" i="1" s="1"/>
  <c r="F52" i="1"/>
  <c r="F53" i="1" l="1"/>
  <c r="F54" i="1"/>
  <c r="B17" i="1" s="1"/>
  <c r="B19" i="2"/>
  <c r="B18" i="1"/>
  <c r="B20" i="2" l="1"/>
  <c r="B20" i="1"/>
  <c r="B21" i="2" s="1"/>
</calcChain>
</file>

<file path=xl/sharedStrings.xml><?xml version="1.0" encoding="utf-8"?>
<sst xmlns="http://schemas.openxmlformats.org/spreadsheetml/2006/main" count="208" uniqueCount="146">
  <si>
    <t>Budget: forskningsophold i Melbourne (Deakin University og Baker Heart and Diabetes Institute)</t>
  </si>
  <si>
    <t>Gule felter med blå tekst kan ændres. Alt andet beregnes. Beløb i DKK, medmindre andet står.</t>
  </si>
  <si>
    <t>INDSTILLINGER</t>
  </si>
  <si>
    <t>Mine måneder i Australien</t>
  </si>
  <si>
    <t>Planlagt nov.–feb. Ændr for kortere eller længere ophold.</t>
  </si>
  <si>
    <t>Familiens måneder i Australien</t>
  </si>
  <si>
    <t>0 = familien rejser ikke med. Må ikke overstige dine måneder.</t>
  </si>
  <si>
    <t>Antal medrejsende voksne</t>
  </si>
  <si>
    <t>Antal medrejsende børn</t>
  </si>
  <si>
    <t>Valutakurs (DKK pr. AUD)</t>
  </si>
  <si>
    <t>OFX markedskurs 19. okt. 2026: 4,64. Opdatér før ansøgning.</t>
  </si>
  <si>
    <t>Buffer for prisudsving</t>
  </si>
  <si>
    <t>Lægges oven i hvert budget.</t>
  </si>
  <si>
    <t>Boligudgift i Danmark pr. måned</t>
  </si>
  <si>
    <t>Udfyld: husleje/ydelse, forbrug m.m., der løber videre i Ebeltoft.</t>
  </si>
  <si>
    <t>Lejeindtægt ved udlejning af huset pr. måned</t>
  </si>
  <si>
    <t>Udfyld, hvis I lejer huset ud.</t>
  </si>
  <si>
    <t>Kontrol</t>
  </si>
  <si>
    <t>OVERBLIK (DKK)</t>
  </si>
  <si>
    <t>Budget 1: Kun mig</t>
  </si>
  <si>
    <t>Til fonde, der kun dækker dine egne udgifter.</t>
  </si>
  <si>
    <t>Budget 2: Tillæg for familien</t>
  </si>
  <si>
    <t>Til fonde, der åbner for medrejsende familie.</t>
  </si>
  <si>
    <t>Samlet med familie (1 + 2)</t>
  </si>
  <si>
    <t>Dobbelt husførelse, netto</t>
  </si>
  <si>
    <t>Boligudgift minus lejeindtægt, gange dine måneder. Negativt tal = udlejningen giver overskud.</t>
  </si>
  <si>
    <t>Samlet inkl. dobbelt husførelse</t>
  </si>
  <si>
    <t>BUDGET 1: KUN MIG (til fonde, der ikke dækker familie)</t>
  </si>
  <si>
    <t>Post</t>
  </si>
  <si>
    <t>Pris pr. enhed</t>
  </si>
  <si>
    <t>Valuta</t>
  </si>
  <si>
    <t>Antal</t>
  </si>
  <si>
    <t>Enhed</t>
  </si>
  <si>
    <t>Beløb (DKK)</t>
  </si>
  <si>
    <t>Kilde og antagelse</t>
  </si>
  <si>
    <t>Fly tur/retur Danmark–Melbourne</t>
  </si>
  <si>
    <t>DKK</t>
  </si>
  <si>
    <t>person</t>
  </si>
  <si>
    <t>Skøn for økonomi nov./feb., købt i god tid. Julen ligger midt i opholdet, ikke på rejsedagene.</t>
  </si>
  <si>
    <t>Visum, subclass 408 (forskning)</t>
  </si>
  <si>
    <t>AUD</t>
  </si>
  <si>
    <t>ansøger</t>
  </si>
  <si>
    <t>Hovedansøger 535 AUD (oneuedu.com, 2026). Tjek Home Affairs' prisberegner.</t>
  </si>
  <si>
    <t>Bolig: møbleret 1-værelses (kun mig)</t>
  </si>
  <si>
    <t>måned</t>
  </si>
  <si>
    <t>Møbleret studio i Melbourne ca. 2.000–2.800 AUD/md. (Expatistan). Brug denne post, når du rejser alene.</t>
  </si>
  <si>
    <t>Lokal transport (Myki)</t>
  </si>
  <si>
    <t>Skøn, voksen, dagligt pendlerkort.</t>
  </si>
  <si>
    <t>Sygeforsikring (OVHC), kun mig</t>
  </si>
  <si>
    <t>Lovkrav for visum 408. Enkeltperson typisk 65–870 AUD/md. (Savvy, maj 2026). Tjek først AU's tjenesterejseforsikring.</t>
  </si>
  <si>
    <t>Mobil og data</t>
  </si>
  <si>
    <t>Skøn, australsk SIM.</t>
  </si>
  <si>
    <t>Merudgifter til kost og småfornødenheder</t>
  </si>
  <si>
    <t>Medtag kun hos fonde, der dækker det. Graduate School of Health gør ikke.</t>
  </si>
  <si>
    <t>Konference eller kursus i Australien</t>
  </si>
  <si>
    <t>stk.</t>
  </si>
  <si>
    <t>Valgfri. Sæt pris til 0, hvis det ikke er aktuelt.</t>
  </si>
  <si>
    <t>Subtotal</t>
  </si>
  <si>
    <t>Buffer</t>
  </si>
  <si>
    <t>I alt</t>
  </si>
  <si>
    <t>BUDGET 2: TILLÆG FOR FAMILIEN (til fonde, der dækker medrejsende)</t>
  </si>
  <si>
    <t>Fly, medrejsende voksne</t>
  </si>
  <si>
    <t>Samme skøn som din billet.</t>
  </si>
  <si>
    <t>Fly, børn</t>
  </si>
  <si>
    <t>Skøn. Børn over 2 år betaler næsten fuld pris.</t>
  </si>
  <si>
    <t>Visum, medrejsende voksne</t>
  </si>
  <si>
    <t>Skøn: tillægsgebyr for voksen. Tjek Home Affairs' prisberegner.</t>
  </si>
  <si>
    <t>Visum, børn</t>
  </si>
  <si>
    <t>Skøn: tillægsgebyr under 18 år. Tjek Home Affairs' prisberegner.</t>
  </si>
  <si>
    <t>Familiebolig i Elwood, møbleret 3 værelser</t>
  </si>
  <si>
    <t>Umøbleret 3-vær. i Elwood udlejes for ca. 1.250 AUD/uge (Domain, okt. 2026). Møbleret korttidsleje om sommeren er dyrere.</t>
  </si>
  <si>
    <t>Fradrag: din egen bolig i de samme måneder</t>
  </si>
  <si>
    <t>Trækker din boligpost fra Budget 1, så kun merprisen for familien tælles.</t>
  </si>
  <si>
    <t>Sygeforsikring, merpris for familieplan</t>
  </si>
  <si>
    <t>Skøn. Familieplaner koster markant mere end enkeltpersoner. Indhent tilbud.</t>
  </si>
  <si>
    <t>Lokal transport, medrejsende voksne</t>
  </si>
  <si>
    <t>person-md.</t>
  </si>
  <si>
    <t>Samme skøn som din.</t>
  </si>
  <si>
    <t>Lokal transport, børn</t>
  </si>
  <si>
    <t>barn-md.</t>
  </si>
  <si>
    <t>Skøn, lav brug. Børn under 5 kører gratis, ældre børn på børnetakst.</t>
  </si>
  <si>
    <t>Mobil og data, medrejsende voksne</t>
  </si>
  <si>
    <t>Skøn.</t>
  </si>
  <si>
    <t>Merudgifter til kost m.m. pr. medrejsende</t>
  </si>
  <si>
    <t>Medtag kun hos fonde, der dækker det.</t>
  </si>
  <si>
    <t>Udflugter og aktiviteter med børnene</t>
  </si>
  <si>
    <t>Valgfri; mange fonde dækker det ikke. Sæt til 0 ved behov.</t>
  </si>
  <si>
    <t>Finansiering af opholdet</t>
  </si>
  <si>
    <t>Udfyld ansøgt og bevilget beløb, efterhånden som svarene kommer. Mangel beregnes automatisk.</t>
  </si>
  <si>
    <t>Fond</t>
  </si>
  <si>
    <t>Dækker</t>
  </si>
  <si>
    <t>Maks. beløb (DKK)</t>
  </si>
  <si>
    <t>Frist</t>
  </si>
  <si>
    <t>Ansøgt (DKK)</t>
  </si>
  <si>
    <t>Bevilget (DKK)</t>
  </si>
  <si>
    <t>Status</t>
  </si>
  <si>
    <t>Graduate School of Health</t>
  </si>
  <si>
    <t>Kun dig</t>
  </si>
  <si>
    <t>Senest 14 dage før afrejse</t>
  </si>
  <si>
    <t>Eksempel: Ansøgt</t>
  </si>
  <si>
    <t>Knud Højgaards Fond</t>
  </si>
  <si>
    <t>Løbende, senest 1 md. før</t>
  </si>
  <si>
    <t>Ikke søgt</t>
  </si>
  <si>
    <t>Alfred Benzon Fonden</t>
  </si>
  <si>
    <t>Senest 5 mdr. før start</t>
  </si>
  <si>
    <t>Diabetesforeningens rejselegat</t>
  </si>
  <si>
    <t>1/2, 1/5, 1/8, 1/11</t>
  </si>
  <si>
    <t>Helga og Peter Kornings Fond</t>
  </si>
  <si>
    <t>15. nov.</t>
  </si>
  <si>
    <t>AUHs Internationaliseringspulje</t>
  </si>
  <si>
    <t>Ukendt</t>
  </si>
  <si>
    <t>1. maj / okt.</t>
  </si>
  <si>
    <t>Tved Sparekasses Fond</t>
  </si>
  <si>
    <t>Løbende / 1/3 og 1/9</t>
  </si>
  <si>
    <t>Kalundborg Kommunes studenterlegat</t>
  </si>
  <si>
    <t>1. jun.</t>
  </si>
  <si>
    <t>Familien Hede Nielsens Fond</t>
  </si>
  <si>
    <t>Løbende</t>
  </si>
  <si>
    <t>Frimodt-Heineke Fonden</t>
  </si>
  <si>
    <t>1. mar. / 1. sep.</t>
  </si>
  <si>
    <t>EliteForsk-rejsestipendium</t>
  </si>
  <si>
    <t>Via indstilling fra AU</t>
  </si>
  <si>
    <t>Institut for Folkesundhed, rejsekonto</t>
  </si>
  <si>
    <t>Den 10. hver md. (sidste udvej)</t>
  </si>
  <si>
    <t>Bevilget i alt</t>
  </si>
  <si>
    <t>Mangler til Budget 1 (kun mig)</t>
  </si>
  <si>
    <t>Mangler til samlet budget med familie</t>
  </si>
  <si>
    <t>Mangler inkl. dobbelt husførelse</t>
  </si>
  <si>
    <t>Maks. beløb for Graduate School of Health beregnes ud fra dine måneder (15.000 kr./md., højst 90.000 kr.). Tomme felter = beløb ikke oplyst af fonden.</t>
  </si>
  <si>
    <t>Kilder og antagelser</t>
  </si>
  <si>
    <t>Valutakurs 4,64 DKK/AUD</t>
  </si>
  <si>
    <t>https://www.ofx.com/en-sg/exchange-rates/aud-to-dkk/</t>
  </si>
  <si>
    <t>Visum 408, hovedansøger 535 AUD; forskningsstrøm</t>
  </si>
  <si>
    <t>https://www.oneuedu.com/en-US/visa/408-temporary-activity-visa</t>
  </si>
  <si>
    <t>Tillægsgebyr for medansøgere (generelt)</t>
  </si>
  <si>
    <t>https://immi.homeaffairs.gov.au/visas/getting-a-visa/fees-and-charges/explanation-of-visa-application-charges/additional-applicant-charge</t>
  </si>
  <si>
    <t>Sygeforsikring (OVHC) prisniveau</t>
  </si>
  <si>
    <t>https://savvy.com.au/health-insurance/408-visa</t>
  </si>
  <si>
    <t>Møbleret studio i Melbourne</t>
  </si>
  <si>
    <t>https://expatistan.com/price/studio-rent-normal-area/melbourne</t>
  </si>
  <si>
    <t>Eksempel: 3-vær. i Elwood, 1.250 AUD/uge</t>
  </si>
  <si>
    <t>https://domain.com.au/14-pine-avenue-elwood-vic-3184-17619575</t>
  </si>
  <si>
    <t>Graduate School of Health: 15.000 kr./md., maks. 90.000 kr., ikke familie</t>
  </si>
  <si>
    <t>https://phd.health.au.dk/doingaphd/changeofresearchenvironment/researchstayabroad</t>
  </si>
  <si>
    <t>Øvrige poster (fly, transport, mobil, kost, aktiviteter)</t>
  </si>
  <si>
    <t>Egne skøn; ret dem til, når du har konkrete tilbud.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</si>
</sst>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##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color rgb="FF59595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595959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3F0EB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6F5C"/>
        <bgColor rgb="FF008080"/>
      </patternFill>
    </fill>
    <fill>
      <patternFill patternType="solid">
        <fgColor rgb="FFD9D9D9"/>
        <bgColor rgb="FFE3F0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1" fontId="5" fillId="3" borderId="0" xfId="0" applyNumberFormat="1" applyFont="1" applyFill="1"/>
    <xf numFmtId="0" fontId="6" fillId="0" borderId="0" xfId="0" applyFont="1"/>
    <xf numFmtId="4" fontId="5" fillId="3" borderId="0" xfId="0" applyNumberFormat="1" applyFont="1" applyFill="1"/>
    <xf numFmtId="9" fontId="5" fillId="3" borderId="0" xfId="0" applyNumberFormat="1" applyFont="1" applyFill="1"/>
    <xf numFmtId="164" fontId="5" fillId="3" borderId="0" xfId="0" applyNumberFormat="1" applyFont="1" applyFill="1"/>
    <xf numFmtId="0" fontId="3" fillId="0" borderId="0" xfId="0" applyFont="1"/>
    <xf numFmtId="164" fontId="4" fillId="0" borderId="0" xfId="0" applyNumberFormat="1" applyFont="1"/>
    <xf numFmtId="164" fontId="3" fillId="0" borderId="0" xfId="0" applyNumberFormat="1" applyFont="1"/>
    <xf numFmtId="0" fontId="7" fillId="4" borderId="0" xfId="0" applyFont="1" applyFill="1"/>
    <xf numFmtId="0" fontId="5" fillId="3" borderId="0" xfId="0" applyFont="1" applyFill="1"/>
    <xf numFmtId="165" fontId="4" fillId="0" borderId="0" xfId="0" applyNumberFormat="1" applyFont="1"/>
    <xf numFmtId="0" fontId="3" fillId="5" borderId="0" xfId="0" applyFont="1" applyFill="1"/>
    <xf numFmtId="0" fontId="4" fillId="5" borderId="0" xfId="0" applyFont="1" applyFill="1"/>
    <xf numFmtId="164" fontId="3" fillId="5" borderId="0" xfId="0" applyNumberFormat="1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FFFCC"/>
      <rgbColor rgb="FFE3F0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zoomScaleNormal="100" workbookViewId="0">
      <pane ySplit="3" topLeftCell="A4" activePane="bottomLeft" state="frozen"/>
      <selection pane="bottomLeft" activeCell="F52" sqref="F52"/>
    </sheetView>
  </sheetViews>
  <sheetFormatPr defaultColWidth="8.6640625" defaultRowHeight="14.4" x14ac:dyDescent="0.3"/>
  <cols>
    <col min="1" max="1" width="46" customWidth="1"/>
    <col min="2" max="2" width="16" customWidth="1"/>
    <col min="3" max="3" width="10" customWidth="1"/>
    <col min="4" max="4" width="9" customWidth="1"/>
    <col min="5" max="5" width="12" customWidth="1"/>
    <col min="6" max="6" width="15" customWidth="1"/>
    <col min="7" max="7" width="95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4"/>
      <c r="C4" s="4"/>
    </row>
    <row r="5" spans="1:3" x14ac:dyDescent="0.3">
      <c r="A5" s="5" t="s">
        <v>3</v>
      </c>
      <c r="B5" s="6">
        <v>4</v>
      </c>
      <c r="C5" s="7" t="s">
        <v>4</v>
      </c>
    </row>
    <row r="6" spans="1:3" x14ac:dyDescent="0.3">
      <c r="A6" s="5" t="s">
        <v>5</v>
      </c>
      <c r="B6" s="6">
        <v>4</v>
      </c>
      <c r="C6" s="7" t="s">
        <v>6</v>
      </c>
    </row>
    <row r="7" spans="1:3" x14ac:dyDescent="0.3">
      <c r="A7" s="5" t="s">
        <v>7</v>
      </c>
      <c r="B7" s="6">
        <v>1</v>
      </c>
      <c r="C7" s="7"/>
    </row>
    <row r="8" spans="1:3" x14ac:dyDescent="0.3">
      <c r="A8" s="5" t="s">
        <v>8</v>
      </c>
      <c r="B8" s="6">
        <v>3</v>
      </c>
      <c r="C8" s="7"/>
    </row>
    <row r="9" spans="1:3" x14ac:dyDescent="0.3">
      <c r="A9" s="5" t="s">
        <v>9</v>
      </c>
      <c r="B9" s="8">
        <v>4.6399999999999997</v>
      </c>
      <c r="C9" s="7" t="s">
        <v>10</v>
      </c>
    </row>
    <row r="10" spans="1:3" x14ac:dyDescent="0.3">
      <c r="A10" s="5" t="s">
        <v>11</v>
      </c>
      <c r="B10" s="9">
        <v>0.05</v>
      </c>
      <c r="C10" s="7" t="s">
        <v>12</v>
      </c>
    </row>
    <row r="11" spans="1:3" x14ac:dyDescent="0.3">
      <c r="A11" s="5" t="s">
        <v>13</v>
      </c>
      <c r="B11" s="10">
        <v>0</v>
      </c>
      <c r="C11" s="7" t="s">
        <v>14</v>
      </c>
    </row>
    <row r="12" spans="1:3" x14ac:dyDescent="0.3">
      <c r="A12" s="5" t="s">
        <v>15</v>
      </c>
      <c r="B12" s="10">
        <v>0</v>
      </c>
      <c r="C12" s="7" t="s">
        <v>16</v>
      </c>
    </row>
    <row r="13" spans="1:3" x14ac:dyDescent="0.3">
      <c r="A13" s="5" t="s">
        <v>17</v>
      </c>
      <c r="B13" s="11" t="str">
        <f>IF(B6&gt;B5,"Familiens måneder er flere end dine","OK")</f>
        <v>OK</v>
      </c>
    </row>
    <row r="15" spans="1:3" x14ac:dyDescent="0.3">
      <c r="A15" s="3" t="s">
        <v>18</v>
      </c>
      <c r="B15" s="4"/>
      <c r="C15" s="4"/>
    </row>
    <row r="16" spans="1:3" x14ac:dyDescent="0.3">
      <c r="A16" s="5" t="s">
        <v>19</v>
      </c>
      <c r="B16" s="12">
        <f>F35</f>
        <v>97760.04</v>
      </c>
      <c r="C16" s="7" t="s">
        <v>20</v>
      </c>
    </row>
    <row r="17" spans="1:7" x14ac:dyDescent="0.3">
      <c r="A17" s="5" t="s">
        <v>21</v>
      </c>
      <c r="B17" s="12">
        <f>F54</f>
        <v>178004.39999999997</v>
      </c>
      <c r="C17" s="7" t="s">
        <v>22</v>
      </c>
    </row>
    <row r="18" spans="1:7" x14ac:dyDescent="0.3">
      <c r="A18" s="11" t="s">
        <v>23</v>
      </c>
      <c r="B18" s="13">
        <f>B16+B17</f>
        <v>275764.43999999994</v>
      </c>
    </row>
    <row r="19" spans="1:7" x14ac:dyDescent="0.3">
      <c r="A19" s="5" t="s">
        <v>24</v>
      </c>
      <c r="B19" s="12">
        <f>(B11-B12)*B5</f>
        <v>0</v>
      </c>
      <c r="C19" s="7" t="s">
        <v>25</v>
      </c>
    </row>
    <row r="20" spans="1:7" x14ac:dyDescent="0.3">
      <c r="A20" s="11" t="s">
        <v>26</v>
      </c>
      <c r="B20" s="13">
        <f>B18+B19</f>
        <v>275764.43999999994</v>
      </c>
    </row>
    <row r="23" spans="1:7" x14ac:dyDescent="0.3">
      <c r="A23" s="3" t="s">
        <v>27</v>
      </c>
      <c r="B23" s="4"/>
      <c r="C23" s="4"/>
      <c r="D23" s="4"/>
      <c r="E23" s="4"/>
      <c r="F23" s="4"/>
      <c r="G23" s="4"/>
    </row>
    <row r="24" spans="1:7" x14ac:dyDescent="0.3">
      <c r="A24" s="14" t="s">
        <v>28</v>
      </c>
      <c r="B24" s="14" t="s">
        <v>29</v>
      </c>
      <c r="C24" s="14" t="s">
        <v>30</v>
      </c>
      <c r="D24" s="14" t="s">
        <v>31</v>
      </c>
      <c r="E24" s="14" t="s">
        <v>32</v>
      </c>
      <c r="F24" s="14" t="s">
        <v>33</v>
      </c>
      <c r="G24" s="14" t="s">
        <v>34</v>
      </c>
    </row>
    <row r="25" spans="1:7" x14ac:dyDescent="0.3">
      <c r="A25" s="5" t="s">
        <v>35</v>
      </c>
      <c r="B25" s="10">
        <v>11000</v>
      </c>
      <c r="C25" s="15" t="s">
        <v>36</v>
      </c>
      <c r="D25" s="16">
        <v>1</v>
      </c>
      <c r="E25" s="5" t="s">
        <v>37</v>
      </c>
      <c r="F25" s="12">
        <f t="shared" ref="F25:F32" si="0">B25*D25*IF(C25="AUD",$B$9,1)</f>
        <v>11000</v>
      </c>
      <c r="G25" s="7" t="s">
        <v>38</v>
      </c>
    </row>
    <row r="26" spans="1:7" x14ac:dyDescent="0.3">
      <c r="A26" s="5" t="s">
        <v>39</v>
      </c>
      <c r="B26" s="10">
        <v>535</v>
      </c>
      <c r="C26" s="15" t="s">
        <v>40</v>
      </c>
      <c r="D26" s="16">
        <v>1</v>
      </c>
      <c r="E26" s="5" t="s">
        <v>41</v>
      </c>
      <c r="F26" s="12">
        <f t="shared" si="0"/>
        <v>2482.3999999999996</v>
      </c>
      <c r="G26" s="7" t="s">
        <v>42</v>
      </c>
    </row>
    <row r="27" spans="1:7" x14ac:dyDescent="0.3">
      <c r="A27" s="5" t="s">
        <v>43</v>
      </c>
      <c r="B27" s="10">
        <v>2800</v>
      </c>
      <c r="C27" s="15" t="s">
        <v>40</v>
      </c>
      <c r="D27" s="16">
        <f>$B$5</f>
        <v>4</v>
      </c>
      <c r="E27" s="5" t="s">
        <v>44</v>
      </c>
      <c r="F27" s="12">
        <f t="shared" si="0"/>
        <v>51968</v>
      </c>
      <c r="G27" s="7" t="s">
        <v>45</v>
      </c>
    </row>
    <row r="28" spans="1:7" x14ac:dyDescent="0.3">
      <c r="A28" s="5" t="s">
        <v>46</v>
      </c>
      <c r="B28" s="10">
        <v>200</v>
      </c>
      <c r="C28" s="15" t="s">
        <v>40</v>
      </c>
      <c r="D28" s="16">
        <f>$B$5</f>
        <v>4</v>
      </c>
      <c r="E28" s="5" t="s">
        <v>44</v>
      </c>
      <c r="F28" s="12">
        <f t="shared" si="0"/>
        <v>3711.9999999999995</v>
      </c>
      <c r="G28" s="7" t="s">
        <v>47</v>
      </c>
    </row>
    <row r="29" spans="1:7" x14ac:dyDescent="0.3">
      <c r="A29" s="5" t="s">
        <v>48</v>
      </c>
      <c r="B29" s="10">
        <v>150</v>
      </c>
      <c r="C29" s="15" t="s">
        <v>40</v>
      </c>
      <c r="D29" s="16">
        <f>$B$5</f>
        <v>4</v>
      </c>
      <c r="E29" s="5" t="s">
        <v>44</v>
      </c>
      <c r="F29" s="12">
        <f t="shared" si="0"/>
        <v>2784</v>
      </c>
      <c r="G29" s="7" t="s">
        <v>49</v>
      </c>
    </row>
    <row r="30" spans="1:7" x14ac:dyDescent="0.3">
      <c r="A30" s="5" t="s">
        <v>50</v>
      </c>
      <c r="B30" s="10">
        <v>40</v>
      </c>
      <c r="C30" s="15" t="s">
        <v>40</v>
      </c>
      <c r="D30" s="16">
        <f>$B$5</f>
        <v>4</v>
      </c>
      <c r="E30" s="5" t="s">
        <v>44</v>
      </c>
      <c r="F30" s="12">
        <f t="shared" si="0"/>
        <v>742.4</v>
      </c>
      <c r="G30" s="7" t="s">
        <v>51</v>
      </c>
    </row>
    <row r="31" spans="1:7" x14ac:dyDescent="0.3">
      <c r="A31" s="5" t="s">
        <v>52</v>
      </c>
      <c r="B31" s="10">
        <v>800</v>
      </c>
      <c r="C31" s="15" t="s">
        <v>40</v>
      </c>
      <c r="D31" s="16">
        <f>$B$5</f>
        <v>4</v>
      </c>
      <c r="E31" s="5" t="s">
        <v>44</v>
      </c>
      <c r="F31" s="12">
        <f t="shared" si="0"/>
        <v>14847.999999999998</v>
      </c>
      <c r="G31" s="7" t="s">
        <v>53</v>
      </c>
    </row>
    <row r="32" spans="1:7" x14ac:dyDescent="0.3">
      <c r="A32" s="5" t="s">
        <v>54</v>
      </c>
      <c r="B32" s="10">
        <v>1200</v>
      </c>
      <c r="C32" s="15" t="s">
        <v>40</v>
      </c>
      <c r="D32" s="16">
        <v>1</v>
      </c>
      <c r="E32" s="5" t="s">
        <v>55</v>
      </c>
      <c r="F32" s="12">
        <f t="shared" si="0"/>
        <v>5568</v>
      </c>
      <c r="G32" s="7" t="s">
        <v>56</v>
      </c>
    </row>
    <row r="33" spans="1:7" x14ac:dyDescent="0.3">
      <c r="A33" s="11" t="s">
        <v>57</v>
      </c>
      <c r="F33" s="13">
        <f>SUM(F25:F32)</f>
        <v>93104.799999999988</v>
      </c>
    </row>
    <row r="34" spans="1:7" x14ac:dyDescent="0.3">
      <c r="A34" s="5" t="s">
        <v>58</v>
      </c>
      <c r="F34" s="12">
        <f>F33*$B$10</f>
        <v>4655.24</v>
      </c>
    </row>
    <row r="35" spans="1:7" x14ac:dyDescent="0.3">
      <c r="A35" s="17" t="s">
        <v>59</v>
      </c>
      <c r="B35" s="18"/>
      <c r="C35" s="18"/>
      <c r="D35" s="18"/>
      <c r="E35" s="18"/>
      <c r="F35" s="19">
        <f>F33+F34</f>
        <v>97760.04</v>
      </c>
      <c r="G35" s="18"/>
    </row>
    <row r="38" spans="1:7" x14ac:dyDescent="0.3">
      <c r="A38" s="3" t="s">
        <v>60</v>
      </c>
      <c r="B38" s="4"/>
      <c r="C38" s="4"/>
      <c r="D38" s="4"/>
      <c r="E38" s="4"/>
      <c r="F38" s="4"/>
      <c r="G38" s="4"/>
    </row>
    <row r="39" spans="1:7" x14ac:dyDescent="0.3">
      <c r="A39" s="14" t="s">
        <v>28</v>
      </c>
      <c r="B39" s="14" t="s">
        <v>29</v>
      </c>
      <c r="C39" s="14" t="s">
        <v>30</v>
      </c>
      <c r="D39" s="14" t="s">
        <v>31</v>
      </c>
      <c r="E39" s="14" t="s">
        <v>32</v>
      </c>
      <c r="F39" s="14" t="s">
        <v>33</v>
      </c>
      <c r="G39" s="14" t="s">
        <v>34</v>
      </c>
    </row>
    <row r="40" spans="1:7" x14ac:dyDescent="0.3">
      <c r="A40" s="5" t="s">
        <v>61</v>
      </c>
      <c r="B40" s="10">
        <v>11000</v>
      </c>
      <c r="C40" s="15" t="s">
        <v>36</v>
      </c>
      <c r="D40" s="16">
        <f>$B$7*IF($B$6&gt;0,1,0)</f>
        <v>1</v>
      </c>
      <c r="E40" s="5" t="s">
        <v>37</v>
      </c>
      <c r="F40" s="12">
        <f t="shared" ref="F40:F51" si="1">B40*D40*IF(C40="AUD",$B$9,1)</f>
        <v>11000</v>
      </c>
      <c r="G40" s="7" t="s">
        <v>62</v>
      </c>
    </row>
    <row r="41" spans="1:7" x14ac:dyDescent="0.3">
      <c r="A41" s="5" t="s">
        <v>63</v>
      </c>
      <c r="B41" s="10">
        <v>10000</v>
      </c>
      <c r="C41" s="15" t="s">
        <v>36</v>
      </c>
      <c r="D41" s="16">
        <f>$B$8*IF($B$6&gt;0,1,0)</f>
        <v>3</v>
      </c>
      <c r="E41" s="5" t="s">
        <v>37</v>
      </c>
      <c r="F41" s="12">
        <f t="shared" si="1"/>
        <v>30000</v>
      </c>
      <c r="G41" s="7" t="s">
        <v>64</v>
      </c>
    </row>
    <row r="42" spans="1:7" x14ac:dyDescent="0.3">
      <c r="A42" s="5" t="s">
        <v>65</v>
      </c>
      <c r="B42" s="10">
        <v>535</v>
      </c>
      <c r="C42" s="15" t="s">
        <v>40</v>
      </c>
      <c r="D42" s="16">
        <f>$B$7*IF($B$6&gt;0,1,0)</f>
        <v>1</v>
      </c>
      <c r="E42" s="5" t="s">
        <v>41</v>
      </c>
      <c r="F42" s="12">
        <f t="shared" si="1"/>
        <v>2482.3999999999996</v>
      </c>
      <c r="G42" s="7" t="s">
        <v>66</v>
      </c>
    </row>
    <row r="43" spans="1:7" x14ac:dyDescent="0.3">
      <c r="A43" s="5" t="s">
        <v>67</v>
      </c>
      <c r="B43" s="10">
        <v>135</v>
      </c>
      <c r="C43" s="15" t="s">
        <v>40</v>
      </c>
      <c r="D43" s="16">
        <f>$B$8*IF($B$6&gt;0,1,0)</f>
        <v>3</v>
      </c>
      <c r="E43" s="5" t="s">
        <v>41</v>
      </c>
      <c r="F43" s="12">
        <f t="shared" si="1"/>
        <v>1879.1999999999998</v>
      </c>
      <c r="G43" s="7" t="s">
        <v>68</v>
      </c>
    </row>
    <row r="44" spans="1:7" x14ac:dyDescent="0.3">
      <c r="A44" s="5" t="s">
        <v>69</v>
      </c>
      <c r="B44" s="10">
        <v>6500</v>
      </c>
      <c r="C44" s="15" t="s">
        <v>40</v>
      </c>
      <c r="D44" s="16">
        <f>$B$6</f>
        <v>4</v>
      </c>
      <c r="E44" s="5" t="s">
        <v>44</v>
      </c>
      <c r="F44" s="12">
        <f t="shared" si="1"/>
        <v>120639.99999999999</v>
      </c>
      <c r="G44" s="7" t="s">
        <v>70</v>
      </c>
    </row>
    <row r="45" spans="1:7" x14ac:dyDescent="0.3">
      <c r="A45" s="5" t="s">
        <v>71</v>
      </c>
      <c r="B45" s="12">
        <f>-B27</f>
        <v>-2800</v>
      </c>
      <c r="C45" s="15" t="s">
        <v>40</v>
      </c>
      <c r="D45" s="16">
        <f>$B$6</f>
        <v>4</v>
      </c>
      <c r="E45" s="5" t="s">
        <v>44</v>
      </c>
      <c r="F45" s="12">
        <f t="shared" si="1"/>
        <v>-51968</v>
      </c>
      <c r="G45" s="7" t="s">
        <v>72</v>
      </c>
    </row>
    <row r="46" spans="1:7" x14ac:dyDescent="0.3">
      <c r="A46" s="5" t="s">
        <v>73</v>
      </c>
      <c r="B46" s="10">
        <v>300</v>
      </c>
      <c r="C46" s="15" t="s">
        <v>40</v>
      </c>
      <c r="D46" s="16">
        <f>$B$6</f>
        <v>4</v>
      </c>
      <c r="E46" s="5" t="s">
        <v>44</v>
      </c>
      <c r="F46" s="12">
        <f t="shared" si="1"/>
        <v>5568</v>
      </c>
      <c r="G46" s="7" t="s">
        <v>74</v>
      </c>
    </row>
    <row r="47" spans="1:7" x14ac:dyDescent="0.3">
      <c r="A47" s="5" t="s">
        <v>75</v>
      </c>
      <c r="B47" s="10">
        <v>200</v>
      </c>
      <c r="C47" s="15" t="s">
        <v>40</v>
      </c>
      <c r="D47" s="16">
        <f>$B$7*$B$6</f>
        <v>4</v>
      </c>
      <c r="E47" s="5" t="s">
        <v>76</v>
      </c>
      <c r="F47" s="12">
        <f t="shared" si="1"/>
        <v>3711.9999999999995</v>
      </c>
      <c r="G47" s="7" t="s">
        <v>77</v>
      </c>
    </row>
    <row r="48" spans="1:7" x14ac:dyDescent="0.3">
      <c r="A48" s="5" t="s">
        <v>78</v>
      </c>
      <c r="B48" s="10">
        <v>50</v>
      </c>
      <c r="C48" s="15" t="s">
        <v>40</v>
      </c>
      <c r="D48" s="16">
        <f>$B$8*$B$6</f>
        <v>12</v>
      </c>
      <c r="E48" s="5" t="s">
        <v>79</v>
      </c>
      <c r="F48" s="12">
        <f t="shared" si="1"/>
        <v>2784</v>
      </c>
      <c r="G48" s="7" t="s">
        <v>80</v>
      </c>
    </row>
    <row r="49" spans="1:7" x14ac:dyDescent="0.3">
      <c r="A49" s="5" t="s">
        <v>81</v>
      </c>
      <c r="B49" s="10">
        <v>40</v>
      </c>
      <c r="C49" s="15" t="s">
        <v>40</v>
      </c>
      <c r="D49" s="16">
        <f>$B$7*$B$6</f>
        <v>4</v>
      </c>
      <c r="E49" s="5" t="s">
        <v>76</v>
      </c>
      <c r="F49" s="12">
        <f t="shared" si="1"/>
        <v>742.4</v>
      </c>
      <c r="G49" s="7" t="s">
        <v>82</v>
      </c>
    </row>
    <row r="50" spans="1:7" x14ac:dyDescent="0.3">
      <c r="A50" s="5" t="s">
        <v>83</v>
      </c>
      <c r="B50" s="10">
        <v>500</v>
      </c>
      <c r="C50" s="15" t="s">
        <v>40</v>
      </c>
      <c r="D50" s="16">
        <f>($B$7+$B$8)*$B$6</f>
        <v>16</v>
      </c>
      <c r="E50" s="5" t="s">
        <v>76</v>
      </c>
      <c r="F50" s="12">
        <f t="shared" si="1"/>
        <v>37120</v>
      </c>
      <c r="G50" s="7" t="s">
        <v>84</v>
      </c>
    </row>
    <row r="51" spans="1:7" x14ac:dyDescent="0.3">
      <c r="A51" s="5" t="s">
        <v>85</v>
      </c>
      <c r="B51" s="10">
        <v>300</v>
      </c>
      <c r="C51" s="15" t="s">
        <v>40</v>
      </c>
      <c r="D51" s="16">
        <f>$B$6</f>
        <v>4</v>
      </c>
      <c r="E51" s="5" t="s">
        <v>44</v>
      </c>
      <c r="F51" s="12">
        <f t="shared" si="1"/>
        <v>5568</v>
      </c>
      <c r="G51" s="7" t="s">
        <v>86</v>
      </c>
    </row>
    <row r="52" spans="1:7" x14ac:dyDescent="0.3">
      <c r="A52" s="11" t="s">
        <v>57</v>
      </c>
      <c r="F52" s="13">
        <f>SUM(F40:F51)</f>
        <v>169527.99999999997</v>
      </c>
    </row>
    <row r="53" spans="1:7" x14ac:dyDescent="0.3">
      <c r="A53" s="5" t="s">
        <v>58</v>
      </c>
      <c r="F53" s="12">
        <f>F52*$B$10</f>
        <v>8476.4</v>
      </c>
    </row>
    <row r="54" spans="1:7" x14ac:dyDescent="0.3">
      <c r="A54" s="17" t="s">
        <v>59</v>
      </c>
      <c r="B54" s="18"/>
      <c r="C54" s="18"/>
      <c r="D54" s="18"/>
      <c r="E54" s="18"/>
      <c r="F54" s="19">
        <f>F52+F53</f>
        <v>178004.39999999997</v>
      </c>
      <c r="G54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12" customWidth="1"/>
    <col min="3" max="3" width="18" customWidth="1"/>
    <col min="4" max="4" width="30" customWidth="1"/>
    <col min="5" max="6" width="15" customWidth="1"/>
    <col min="7" max="7" width="18" customWidth="1"/>
  </cols>
  <sheetData>
    <row r="1" spans="1:7" ht="17.399999999999999" x14ac:dyDescent="0.3">
      <c r="A1" s="1" t="s">
        <v>87</v>
      </c>
    </row>
    <row r="2" spans="1:7" x14ac:dyDescent="0.3">
      <c r="A2" s="2" t="s">
        <v>88</v>
      </c>
    </row>
    <row r="4" spans="1:7" x14ac:dyDescent="0.3">
      <c r="A4" s="14" t="s">
        <v>89</v>
      </c>
      <c r="B4" s="14" t="s">
        <v>90</v>
      </c>
      <c r="C4" s="14" t="s">
        <v>91</v>
      </c>
      <c r="D4" s="14" t="s">
        <v>92</v>
      </c>
      <c r="E4" s="14" t="s">
        <v>93</v>
      </c>
      <c r="F4" s="14" t="s">
        <v>94</v>
      </c>
      <c r="G4" s="14" t="s">
        <v>95</v>
      </c>
    </row>
    <row r="5" spans="1:7" x14ac:dyDescent="0.3">
      <c r="A5" s="5" t="s">
        <v>96</v>
      </c>
      <c r="B5" s="5" t="s">
        <v>97</v>
      </c>
      <c r="C5" s="12">
        <f>MIN(15000*Budget!B5,90000)</f>
        <v>60000</v>
      </c>
      <c r="D5" s="5" t="s">
        <v>98</v>
      </c>
      <c r="E5" s="20">
        <f>C5</f>
        <v>60000</v>
      </c>
      <c r="F5" s="10"/>
      <c r="G5" s="15" t="s">
        <v>99</v>
      </c>
    </row>
    <row r="6" spans="1:7" x14ac:dyDescent="0.3">
      <c r="A6" s="5" t="s">
        <v>100</v>
      </c>
      <c r="B6" s="5" t="s">
        <v>97</v>
      </c>
      <c r="C6" s="12"/>
      <c r="D6" s="5" t="s">
        <v>101</v>
      </c>
      <c r="E6" s="10"/>
      <c r="F6" s="10"/>
      <c r="G6" s="15" t="s">
        <v>102</v>
      </c>
    </row>
    <row r="7" spans="1:7" x14ac:dyDescent="0.3">
      <c r="A7" s="5" t="s">
        <v>103</v>
      </c>
      <c r="B7" s="5" t="s">
        <v>97</v>
      </c>
      <c r="C7" s="12">
        <v>25000</v>
      </c>
      <c r="D7" s="5" t="s">
        <v>104</v>
      </c>
      <c r="E7" s="10"/>
      <c r="F7" s="10"/>
      <c r="G7" s="15" t="s">
        <v>102</v>
      </c>
    </row>
    <row r="8" spans="1:7" x14ac:dyDescent="0.3">
      <c r="A8" s="5" t="s">
        <v>105</v>
      </c>
      <c r="B8" s="5" t="s">
        <v>97</v>
      </c>
      <c r="C8" s="12">
        <v>10000</v>
      </c>
      <c r="D8" s="5" t="s">
        <v>106</v>
      </c>
      <c r="E8" s="10"/>
      <c r="F8" s="10"/>
      <c r="G8" s="15" t="s">
        <v>102</v>
      </c>
    </row>
    <row r="9" spans="1:7" x14ac:dyDescent="0.3">
      <c r="A9" s="5" t="s">
        <v>107</v>
      </c>
      <c r="B9" s="5" t="s">
        <v>97</v>
      </c>
      <c r="C9" s="12">
        <v>25000</v>
      </c>
      <c r="D9" s="5" t="s">
        <v>108</v>
      </c>
      <c r="E9" s="10"/>
      <c r="F9" s="10"/>
      <c r="G9" s="15" t="s">
        <v>102</v>
      </c>
    </row>
    <row r="10" spans="1:7" x14ac:dyDescent="0.3">
      <c r="A10" s="5" t="s">
        <v>109</v>
      </c>
      <c r="B10" s="5" t="s">
        <v>110</v>
      </c>
      <c r="C10" s="12"/>
      <c r="D10" s="5" t="s">
        <v>111</v>
      </c>
      <c r="E10" s="10"/>
      <c r="F10" s="10"/>
      <c r="G10" s="15" t="s">
        <v>102</v>
      </c>
    </row>
    <row r="11" spans="1:7" x14ac:dyDescent="0.3">
      <c r="A11" s="5" t="s">
        <v>112</v>
      </c>
      <c r="B11" s="5" t="s">
        <v>110</v>
      </c>
      <c r="C11" s="12"/>
      <c r="D11" s="5" t="s">
        <v>113</v>
      </c>
      <c r="E11" s="10"/>
      <c r="F11" s="10"/>
      <c r="G11" s="15" t="s">
        <v>102</v>
      </c>
    </row>
    <row r="12" spans="1:7" x14ac:dyDescent="0.3">
      <c r="A12" s="5" t="s">
        <v>114</v>
      </c>
      <c r="B12" s="5" t="s">
        <v>110</v>
      </c>
      <c r="C12" s="12"/>
      <c r="D12" s="5" t="s">
        <v>115</v>
      </c>
      <c r="E12" s="10"/>
      <c r="F12" s="10"/>
      <c r="G12" s="15" t="s">
        <v>102</v>
      </c>
    </row>
    <row r="13" spans="1:7" x14ac:dyDescent="0.3">
      <c r="A13" s="5" t="s">
        <v>116</v>
      </c>
      <c r="B13" s="5" t="s">
        <v>110</v>
      </c>
      <c r="C13" s="12"/>
      <c r="D13" s="5" t="s">
        <v>117</v>
      </c>
      <c r="E13" s="10"/>
      <c r="F13" s="10"/>
      <c r="G13" s="15" t="s">
        <v>102</v>
      </c>
    </row>
    <row r="14" spans="1:7" x14ac:dyDescent="0.3">
      <c r="A14" s="5" t="s">
        <v>118</v>
      </c>
      <c r="B14" s="5" t="s">
        <v>110</v>
      </c>
      <c r="C14" s="12"/>
      <c r="D14" s="5" t="s">
        <v>119</v>
      </c>
      <c r="E14" s="10"/>
      <c r="F14" s="10"/>
      <c r="G14" s="15" t="s">
        <v>102</v>
      </c>
    </row>
    <row r="15" spans="1:7" x14ac:dyDescent="0.3">
      <c r="A15" s="5" t="s">
        <v>120</v>
      </c>
      <c r="B15" s="5" t="s">
        <v>110</v>
      </c>
      <c r="C15" s="12">
        <v>200000</v>
      </c>
      <c r="D15" s="5" t="s">
        <v>121</v>
      </c>
      <c r="E15" s="10"/>
      <c r="F15" s="10"/>
      <c r="G15" s="15" t="s">
        <v>102</v>
      </c>
    </row>
    <row r="16" spans="1:7" x14ac:dyDescent="0.3">
      <c r="A16" s="5" t="s">
        <v>122</v>
      </c>
      <c r="B16" s="5" t="s">
        <v>97</v>
      </c>
      <c r="C16" s="12">
        <v>10000</v>
      </c>
      <c r="D16" s="5" t="s">
        <v>123</v>
      </c>
      <c r="E16" s="10"/>
      <c r="F16" s="10"/>
      <c r="G16" s="15" t="s">
        <v>102</v>
      </c>
    </row>
    <row r="18" spans="1:2" x14ac:dyDescent="0.3">
      <c r="A18" s="11" t="s">
        <v>124</v>
      </c>
      <c r="B18" s="13">
        <f>SUM(F5:F16)</f>
        <v>0</v>
      </c>
    </row>
    <row r="19" spans="1:2" x14ac:dyDescent="0.3">
      <c r="A19" s="11" t="s">
        <v>125</v>
      </c>
      <c r="B19" s="13">
        <f>Budget!B16-B18</f>
        <v>97760.04</v>
      </c>
    </row>
    <row r="20" spans="1:2" x14ac:dyDescent="0.3">
      <c r="A20" s="11" t="s">
        <v>126</v>
      </c>
      <c r="B20" s="13">
        <f>Budget!B18-B18</f>
        <v>275764.43999999994</v>
      </c>
    </row>
    <row r="21" spans="1:2" x14ac:dyDescent="0.3">
      <c r="A21" s="11" t="s">
        <v>127</v>
      </c>
      <c r="B21" s="13">
        <f>Budget!B20-B18</f>
        <v>275764.43999999994</v>
      </c>
    </row>
    <row r="23" spans="1:2" x14ac:dyDescent="0.3">
      <c r="A23" s="2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/>
  </sheetViews>
  <sheetFormatPr defaultColWidth="8.6640625" defaultRowHeight="14.4" x14ac:dyDescent="0.3"/>
  <cols>
    <col min="1" max="1" width="60" customWidth="1"/>
    <col min="2" max="2" width="100" customWidth="1"/>
  </cols>
  <sheetData>
    <row r="1" spans="1:2" ht="17.399999999999999" x14ac:dyDescent="0.3">
      <c r="A1" s="1" t="s">
        <v>129</v>
      </c>
    </row>
    <row r="3" spans="1:2" x14ac:dyDescent="0.3">
      <c r="A3" s="5" t="s">
        <v>130</v>
      </c>
      <c r="B3" s="5" t="s">
        <v>131</v>
      </c>
    </row>
    <row r="4" spans="1:2" x14ac:dyDescent="0.3">
      <c r="A4" s="5" t="s">
        <v>132</v>
      </c>
      <c r="B4" s="5" t="s">
        <v>133</v>
      </c>
    </row>
    <row r="5" spans="1:2" x14ac:dyDescent="0.3">
      <c r="A5" s="5" t="s">
        <v>134</v>
      </c>
      <c r="B5" s="5" t="s">
        <v>135</v>
      </c>
    </row>
    <row r="6" spans="1:2" x14ac:dyDescent="0.3">
      <c r="A6" s="5" t="s">
        <v>136</v>
      </c>
      <c r="B6" s="5" t="s">
        <v>137</v>
      </c>
    </row>
    <row r="7" spans="1:2" x14ac:dyDescent="0.3">
      <c r="A7" s="5" t="s">
        <v>138</v>
      </c>
      <c r="B7" s="5" t="s">
        <v>139</v>
      </c>
    </row>
    <row r="8" spans="1:2" x14ac:dyDescent="0.3">
      <c r="A8" s="5" t="s">
        <v>140</v>
      </c>
      <c r="B8" s="5" t="s">
        <v>141</v>
      </c>
    </row>
    <row r="9" spans="1:2" x14ac:dyDescent="0.3">
      <c r="A9" s="5" t="s">
        <v>142</v>
      </c>
      <c r="B9" s="5" t="s">
        <v>143</v>
      </c>
    </row>
    <row r="10" spans="1:2" x14ac:dyDescent="0.3">
      <c r="A10" s="5" t="s">
        <v>144</v>
      </c>
      <c r="B10" s="5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Budget</vt:lpstr>
      <vt:lpstr>Finansiering</vt:lpstr>
      <vt:lpstr>Kilder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Jonas Munk Jensen</cp:lastModifiedBy>
  <cp:revision>0</cp:revision>
  <dcterms:created xsi:type="dcterms:W3CDTF">2026-10-19T11:20:15Z</dcterms:created>
  <dcterms:modified xsi:type="dcterms:W3CDTF">2026-10-19T17:09:14Z</dcterms:modified>
  <dc:language>en-US</dc:language>
</cp:coreProperties>
</file>